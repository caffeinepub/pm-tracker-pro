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ree\Desktop\"/>
    </mc:Choice>
  </mc:AlternateContent>
  <bookViews>
    <workbookView xWindow="0" yWindow="0" windowWidth="28800" windowHeight="12210"/>
  </bookViews>
  <sheets>
    <sheet name="MSEB POWER FAILURE" sheetId="23" r:id="rId1"/>
    <sheet name="BDR summary" sheetId="8" r:id="rId2"/>
    <sheet name="CAPA" sheetId="20" r:id="rId3"/>
    <sheet name="ANALYSIS" sheetId="19" r:id="rId4"/>
  </sheets>
  <definedNames>
    <definedName name="_xlnm._FilterDatabase" localSheetId="1" hidden="1">'BDR summary'!$A$4:$AA$4</definedName>
    <definedName name="_xlnm._FilterDatabase" localSheetId="2" hidden="1">CAPA!$A$3:$I$3</definedName>
    <definedName name="_xlnm.Print_Area" localSheetId="1">'BDR summary'!$A$1:$M$6</definedName>
    <definedName name="_xlnm.Print_Area" localSheetId="2">CAPA!$A$1:$I$4</definedName>
    <definedName name="_xlnm.Print_Titles" localSheetId="1">'BDR summary'!$1:$4</definedName>
    <definedName name="_xlnm.Print_Titles" localSheetId="2">CAPA!$1:$3</definedName>
  </definedNames>
  <calcPr calcId="162913"/>
</workbook>
</file>

<file path=xl/calcChain.xml><?xml version="1.0" encoding="utf-8"?>
<calcChain xmlns="http://schemas.openxmlformats.org/spreadsheetml/2006/main">
  <c r="J30" i="19" l="1"/>
  <c r="K29" i="19" l="1"/>
  <c r="H29" i="19"/>
  <c r="L29" i="19" s="1"/>
  <c r="I29" i="19" s="1"/>
  <c r="K28" i="19"/>
  <c r="G28" i="19"/>
  <c r="F28" i="19"/>
  <c r="K27" i="19"/>
  <c r="G27" i="19"/>
  <c r="F27" i="19"/>
  <c r="H27" i="19" s="1"/>
  <c r="E29" i="19" l="1"/>
  <c r="H28" i="19"/>
  <c r="E27" i="19"/>
  <c r="L27" i="19"/>
  <c r="I27" i="19" s="1"/>
  <c r="L28" i="19"/>
  <c r="I28" i="19" s="1"/>
  <c r="E28" i="19"/>
  <c r="D26" i="19" l="1"/>
  <c r="D30" i="19" s="1"/>
  <c r="K30" i="19" s="1"/>
  <c r="F26" i="19"/>
  <c r="F30" i="19" s="1"/>
  <c r="G26" i="19"/>
  <c r="G30" i="19" s="1"/>
  <c r="K26" i="19" l="1"/>
  <c r="H26" i="19"/>
  <c r="H30" i="19" s="1"/>
  <c r="L30" i="19" s="1"/>
  <c r="I30" i="19" s="1"/>
  <c r="E26" i="19" l="1"/>
  <c r="L26" i="19"/>
  <c r="G24" i="19"/>
  <c r="F24" i="19"/>
  <c r="J25" i="19"/>
  <c r="D25" i="19"/>
  <c r="J20" i="19"/>
  <c r="J15" i="19"/>
  <c r="J10" i="19"/>
  <c r="I26" i="19" l="1"/>
  <c r="K25" i="19"/>
  <c r="K23" i="19"/>
  <c r="G23" i="19"/>
  <c r="F23" i="19"/>
  <c r="H23" i="19" s="1"/>
  <c r="L23" i="19" s="1"/>
  <c r="I23" i="19" s="1"/>
  <c r="K22" i="19"/>
  <c r="G22" i="19"/>
  <c r="F22" i="19"/>
  <c r="H22" i="19" l="1"/>
  <c r="L22" i="19" s="1"/>
  <c r="I22" i="19" s="1"/>
  <c r="K24" i="19"/>
  <c r="H24" i="19"/>
  <c r="K21" i="19"/>
  <c r="G21" i="19"/>
  <c r="G25" i="19" s="1"/>
  <c r="F21" i="19"/>
  <c r="F19" i="19"/>
  <c r="K19" i="19"/>
  <c r="G19" i="19"/>
  <c r="H19" i="19"/>
  <c r="L19" i="19" s="1"/>
  <c r="I19" i="19" s="1"/>
  <c r="H21" i="19" l="1"/>
  <c r="F25" i="19"/>
  <c r="E19" i="19"/>
  <c r="L24" i="19"/>
  <c r="H25" i="19"/>
  <c r="L25" i="19" s="1"/>
  <c r="E24" i="19"/>
  <c r="D18" i="19"/>
  <c r="F18" i="19"/>
  <c r="G18" i="19"/>
  <c r="H18" i="19" l="1"/>
  <c r="K18" i="19"/>
  <c r="D20" i="19"/>
  <c r="K20" i="19" s="1"/>
  <c r="E18" i="19"/>
  <c r="L21" i="19"/>
  <c r="I21" i="19" s="1"/>
  <c r="E21" i="19"/>
  <c r="I25" i="19"/>
  <c r="I24" i="19"/>
  <c r="L18" i="19"/>
  <c r="I18" i="19" s="1"/>
  <c r="G17" i="19"/>
  <c r="G16" i="19"/>
  <c r="G20" i="19" s="1"/>
  <c r="F17" i="19"/>
  <c r="K17" i="19" l="1"/>
  <c r="H17" i="19"/>
  <c r="K16" i="19"/>
  <c r="F16" i="19"/>
  <c r="H16" i="19" l="1"/>
  <c r="F20" i="19"/>
  <c r="L17" i="19"/>
  <c r="I17" i="19" s="1"/>
  <c r="E17" i="19"/>
  <c r="F14" i="19"/>
  <c r="K14" i="19"/>
  <c r="G14" i="19"/>
  <c r="H14" i="19" l="1"/>
  <c r="L16" i="19"/>
  <c r="I16" i="19" s="1"/>
  <c r="H20" i="19"/>
  <c r="L20" i="19" s="1"/>
  <c r="I20" i="19" s="1"/>
  <c r="E16" i="19"/>
  <c r="L14" i="19"/>
  <c r="I14" i="19" s="1"/>
  <c r="E14" i="19"/>
  <c r="D13" i="19"/>
  <c r="D15" i="19" s="1"/>
  <c r="K15" i="19" s="1"/>
  <c r="K12" i="19" l="1"/>
  <c r="K13" i="19"/>
  <c r="F13" i="19"/>
  <c r="F12" i="19"/>
  <c r="G13" i="19" l="1"/>
  <c r="G12" i="19"/>
  <c r="H12" i="19" l="1"/>
  <c r="E12" i="19" l="1"/>
  <c r="L12" i="19"/>
  <c r="I12" i="19"/>
  <c r="H13" i="19"/>
  <c r="K11" i="19"/>
  <c r="G11" i="19"/>
  <c r="G15" i="19" s="1"/>
  <c r="F11" i="19"/>
  <c r="F15" i="19" s="1"/>
  <c r="E13" i="19" l="1"/>
  <c r="L13" i="19"/>
  <c r="I13" i="19" s="1"/>
  <c r="H11" i="19"/>
  <c r="H15" i="19" s="1"/>
  <c r="L15" i="19" s="1"/>
  <c r="I15" i="19" s="1"/>
  <c r="D9" i="19"/>
  <c r="D8" i="19"/>
  <c r="G9" i="19"/>
  <c r="G8" i="19"/>
  <c r="F9" i="19"/>
  <c r="F8" i="19"/>
  <c r="L11" i="19" l="1"/>
  <c r="E11" i="19"/>
  <c r="H8" i="19"/>
  <c r="L8" i="19" s="1"/>
  <c r="H9" i="19"/>
  <c r="E9" i="19"/>
  <c r="L9" i="19"/>
  <c r="E8" i="19"/>
  <c r="I11" i="19" l="1"/>
  <c r="K8" i="19"/>
  <c r="K9" i="19"/>
  <c r="G7" i="19"/>
  <c r="F7" i="19"/>
  <c r="H7" i="19" s="1"/>
  <c r="D7" i="19"/>
  <c r="K7" i="19" l="1"/>
  <c r="D10" i="19"/>
  <c r="K10" i="19" s="1"/>
  <c r="E7" i="19"/>
  <c r="L7" i="19"/>
  <c r="I8" i="19"/>
  <c r="I9" i="19"/>
  <c r="I7" i="19"/>
  <c r="G6" i="19"/>
  <c r="G10" i="19" s="1"/>
  <c r="F6" i="19" l="1"/>
  <c r="F10" i="19" s="1"/>
  <c r="G5" i="19" l="1"/>
  <c r="D32" i="23"/>
  <c r="D33" i="23" s="1"/>
  <c r="K6" i="19" l="1"/>
  <c r="H6" i="19"/>
  <c r="F5" i="19"/>
  <c r="L6" i="19" l="1"/>
  <c r="H10" i="19"/>
  <c r="L10" i="19" s="1"/>
  <c r="I10" i="19" s="1"/>
  <c r="E6" i="19"/>
  <c r="I6" i="19" l="1"/>
  <c r="H5" i="19"/>
  <c r="D5" i="19" l="1"/>
  <c r="K5" i="19" s="1"/>
  <c r="H6" i="8"/>
  <c r="L5" i="19" l="1"/>
  <c r="E5" i="19"/>
  <c r="I5" i="19"/>
</calcChain>
</file>

<file path=xl/sharedStrings.xml><?xml version="1.0" encoding="utf-8"?>
<sst xmlns="http://schemas.openxmlformats.org/spreadsheetml/2006/main" count="102" uniqueCount="74">
  <si>
    <t>Machine / Equipment</t>
  </si>
  <si>
    <t>Details of trouble</t>
  </si>
  <si>
    <t>From</t>
  </si>
  <si>
    <t>To</t>
  </si>
  <si>
    <t>Month</t>
  </si>
  <si>
    <t>Date</t>
  </si>
  <si>
    <t>Breakdown Summary/History Register</t>
  </si>
  <si>
    <t>Spare replaced 
(if any)</t>
  </si>
  <si>
    <t>Corrective action</t>
  </si>
  <si>
    <t>Type of breakdown</t>
  </si>
  <si>
    <t>Total time
Minute</t>
  </si>
  <si>
    <t>BD HR</t>
  </si>
  <si>
    <t>CORRECTIVE ACTION AND PREVENTIVE ACTION</t>
  </si>
  <si>
    <t>Name of technician/ENGG.</t>
  </si>
  <si>
    <t>Root cause</t>
  </si>
  <si>
    <t>Permanent Action</t>
  </si>
  <si>
    <t>2.8.24</t>
  </si>
  <si>
    <t>Cartridge filter</t>
  </si>
  <si>
    <t>Mechanical</t>
  </si>
  <si>
    <t>Impeller imbalance so motor bearing damage</t>
  </si>
  <si>
    <t>Total time in min</t>
  </si>
  <si>
    <t>Replace bearing and balancing done of impeller and rotor</t>
  </si>
  <si>
    <t>Bearing 6312-2Z/C3 and  6209-2Z/C3</t>
  </si>
  <si>
    <t>Pramod and mayur</t>
  </si>
  <si>
    <t>9.8.24</t>
  </si>
  <si>
    <t xml:space="preserve">Conveyor </t>
  </si>
  <si>
    <t>Conveyor chain stuck</t>
  </si>
  <si>
    <t>Replace chain piece about 1 meter</t>
  </si>
  <si>
    <t>Bearing damage and stuck in path due to no oiling properly</t>
  </si>
  <si>
    <t>Worn-out and deteriorate</t>
  </si>
  <si>
    <t>Chain 1 meter</t>
  </si>
  <si>
    <t>Corrective Action</t>
  </si>
  <si>
    <t>Replaced damage chain</t>
  </si>
  <si>
    <t>Need to inspect all chain and take care in preventive or shut down plan</t>
  </si>
  <si>
    <t>Status</t>
  </si>
  <si>
    <t>Pending</t>
  </si>
  <si>
    <t>No of Occurrence</t>
  </si>
  <si>
    <t>Sr.No.</t>
  </si>
  <si>
    <t>Working hr</t>
  </si>
  <si>
    <t>Available working hr</t>
  </si>
  <si>
    <t>MTBF In HR</t>
  </si>
  <si>
    <t>MTTR In Hr</t>
  </si>
  <si>
    <t>BD %</t>
  </si>
  <si>
    <t>Availability %</t>
  </si>
  <si>
    <t>MSEB Power OFF in HR</t>
  </si>
  <si>
    <t>ANALYSIS</t>
  </si>
  <si>
    <t>DATE</t>
  </si>
  <si>
    <t xml:space="preserve">POWER OFF TIME </t>
  </si>
  <si>
    <t>POWER ON TIME</t>
  </si>
  <si>
    <t>3.8.24</t>
  </si>
  <si>
    <t>TOTAL TIME IN MIN</t>
  </si>
  <si>
    <t>4.8.24</t>
  </si>
  <si>
    <t>8.8.24</t>
  </si>
  <si>
    <t>11.8.24</t>
  </si>
  <si>
    <t>12.8.24</t>
  </si>
  <si>
    <t>13.8.24</t>
  </si>
  <si>
    <t>14.8.24</t>
  </si>
  <si>
    <t>18.8.24</t>
  </si>
  <si>
    <t>20.8.24</t>
  </si>
  <si>
    <t>21.8.24</t>
  </si>
  <si>
    <t>22.8.24</t>
  </si>
  <si>
    <t>23.8.24</t>
  </si>
  <si>
    <t>24.8.24</t>
  </si>
  <si>
    <t>25.8.24</t>
  </si>
  <si>
    <t>26.08.24</t>
  </si>
  <si>
    <t>27.8.24</t>
  </si>
  <si>
    <t>28.8.24</t>
  </si>
  <si>
    <t>29.8.24</t>
  </si>
  <si>
    <t>30.8.24</t>
  </si>
  <si>
    <t>WEEK 1</t>
  </si>
  <si>
    <t>WEEK 2</t>
  </si>
  <si>
    <t>WEEK 3</t>
  </si>
  <si>
    <t>WEEK 4</t>
  </si>
  <si>
    <t xml:space="preserve">            MSEB POWER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</si>
</sst>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%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 Black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1" fillId="0" borderId="0"/>
  </cellStyleXfs>
  <cellXfs count="82">
    <xf numFmtId="0" fontId="0" fillId="0" borderId="0" xfId="0"/>
    <xf numFmtId="0" fontId="5" fillId="0" borderId="0" xfId="0" applyFont="1" applyFill="1" applyAlignment="1">
      <alignment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7" fillId="0" borderId="0" xfId="1" applyFont="1" applyFill="1" applyAlignment="1">
      <alignment horizontal="center" vertical="center" wrapText="1"/>
    </xf>
    <xf numFmtId="0" fontId="7" fillId="0" borderId="3" xfId="1" applyFont="1" applyBorder="1" applyAlignment="1">
      <alignment vertical="center" wrapText="1"/>
    </xf>
    <xf numFmtId="0" fontId="7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 wrapText="1"/>
    </xf>
    <xf numFmtId="2" fontId="7" fillId="0" borderId="3" xfId="1" applyNumberFormat="1" applyFont="1" applyBorder="1" applyAlignment="1">
      <alignment horizontal="center" vertical="center" wrapText="1"/>
    </xf>
    <xf numFmtId="0" fontId="7" fillId="0" borderId="0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9" xfId="1" applyFont="1" applyFill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6" fillId="0" borderId="3" xfId="1" applyFont="1" applyFill="1" applyBorder="1" applyAlignment="1">
      <alignment vertical="center" wrapText="1"/>
    </xf>
    <xf numFmtId="0" fontId="6" fillId="0" borderId="0" xfId="1" applyFont="1" applyFill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16" fontId="8" fillId="0" borderId="0" xfId="0" applyNumberFormat="1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7" fontId="7" fillId="0" borderId="3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17" fontId="0" fillId="0" borderId="0" xfId="0" applyNumberForma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17" fontId="12" fillId="0" borderId="3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17" fontId="12" fillId="3" borderId="15" xfId="0" applyNumberFormat="1" applyFont="1" applyFill="1" applyBorder="1" applyAlignment="1">
      <alignment horizontal="center" vertical="center"/>
    </xf>
    <xf numFmtId="17" fontId="12" fillId="3" borderId="3" xfId="0" applyNumberFormat="1" applyFont="1" applyFill="1" applyBorder="1" applyAlignment="1">
      <alignment horizontal="center" vertical="center"/>
    </xf>
    <xf numFmtId="164" fontId="12" fillId="3" borderId="3" xfId="0" applyNumberFormat="1" applyFont="1" applyFill="1" applyBorder="1" applyAlignment="1">
      <alignment horizontal="center" vertical="center"/>
    </xf>
    <xf numFmtId="165" fontId="12" fillId="3" borderId="3" xfId="0" applyNumberFormat="1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7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2" fillId="0" borderId="3" xfId="0" applyFont="1" applyFill="1" applyBorder="1" applyAlignment="1">
      <alignment vertical="center" wrapText="1"/>
    </xf>
    <xf numFmtId="0" fontId="12" fillId="0" borderId="3" xfId="0" applyFont="1" applyBorder="1" applyAlignment="1">
      <alignment horizontal="center"/>
    </xf>
    <xf numFmtId="2" fontId="12" fillId="0" borderId="3" xfId="0" applyNumberFormat="1" applyFont="1" applyBorder="1" applyAlignment="1">
      <alignment horizontal="center"/>
    </xf>
    <xf numFmtId="0" fontId="12" fillId="0" borderId="0" xfId="0" applyFont="1"/>
    <xf numFmtId="0" fontId="13" fillId="0" borderId="3" xfId="0" applyFont="1" applyBorder="1" applyAlignment="1">
      <alignment horizontal="center"/>
    </xf>
    <xf numFmtId="0" fontId="4" fillId="0" borderId="3" xfId="0" applyFont="1" applyFill="1" applyBorder="1" applyAlignment="1">
      <alignment horizontal="center" vertical="center" wrapText="1"/>
    </xf>
    <xf numFmtId="17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7" fontId="7" fillId="0" borderId="13" xfId="1" applyNumberFormat="1" applyFont="1" applyBorder="1" applyAlignment="1">
      <alignment horizontal="center" vertical="center" wrapText="1"/>
    </xf>
    <xf numFmtId="17" fontId="7" fillId="0" borderId="14" xfId="1" applyNumberFormat="1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17" fontId="12" fillId="0" borderId="13" xfId="0" applyNumberFormat="1" applyFont="1" applyBorder="1" applyAlignment="1">
      <alignment horizontal="center" vertical="center"/>
    </xf>
    <xf numFmtId="17" fontId="12" fillId="0" borderId="15" xfId="0" applyNumberFormat="1" applyFont="1" applyBorder="1" applyAlignment="1">
      <alignment horizontal="center" vertical="center"/>
    </xf>
    <xf numFmtId="17" fontId="12" fillId="0" borderId="14" xfId="0" applyNumberFormat="1" applyFont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</cellXfs>
  <cellStyles count="4">
    <cellStyle name="AutoFormat-Optionen" xfId="3"/>
    <cellStyle name="Normal" xfId="0" builtinId="0"/>
    <cellStyle name="Normal 2" xfId="1"/>
    <cellStyle name="Normal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T23" sqref="T23"/>
    </sheetView>
  </sheetViews>
  <sheetFormatPr defaultRowHeight="12.75" x14ac:dyDescent="0.2"/>
  <cols>
    <col min="1" max="1" width="16" style="22" customWidth="1"/>
    <col min="2" max="2" width="21.42578125" style="22" customWidth="1"/>
    <col min="3" max="3" width="28.28515625" style="22" customWidth="1"/>
    <col min="4" max="4" width="25.5703125" style="22" bestFit="1" customWidth="1"/>
  </cols>
  <sheetData>
    <row r="1" spans="1:4" s="1" customFormat="1" ht="18" customHeight="1" x14ac:dyDescent="0.2">
      <c r="A1" s="50" t="s">
        <v>73</v>
      </c>
      <c r="B1" s="50"/>
      <c r="C1" s="50"/>
      <c r="D1" s="45"/>
    </row>
    <row r="2" spans="1:4" s="1" customFormat="1" ht="18" customHeight="1" x14ac:dyDescent="0.2">
      <c r="A2" s="50"/>
      <c r="B2" s="50"/>
      <c r="C2" s="50"/>
      <c r="D2" s="45"/>
    </row>
    <row r="3" spans="1:4" s="1" customFormat="1" ht="18" customHeight="1" x14ac:dyDescent="0.2">
      <c r="A3" s="50"/>
      <c r="B3" s="50"/>
      <c r="C3" s="50"/>
      <c r="D3" s="45"/>
    </row>
    <row r="4" spans="1:4" s="44" customFormat="1" ht="26.25" customHeight="1" x14ac:dyDescent="0.2">
      <c r="A4" s="43" t="s">
        <v>46</v>
      </c>
      <c r="B4" s="43" t="s">
        <v>47</v>
      </c>
      <c r="C4" s="43" t="s">
        <v>48</v>
      </c>
      <c r="D4" s="43" t="s">
        <v>50</v>
      </c>
    </row>
    <row r="5" spans="1:4" s="48" customFormat="1" ht="15" customHeight="1" x14ac:dyDescent="0.2">
      <c r="A5" s="46" t="s">
        <v>49</v>
      </c>
      <c r="B5" s="47">
        <v>18.21</v>
      </c>
      <c r="C5" s="47">
        <v>18.440000000000001</v>
      </c>
      <c r="D5" s="46">
        <v>23</v>
      </c>
    </row>
    <row r="6" spans="1:4" s="48" customFormat="1" ht="15" customHeight="1" x14ac:dyDescent="0.2">
      <c r="A6" s="46" t="s">
        <v>51</v>
      </c>
      <c r="B6" s="47">
        <v>11.22</v>
      </c>
      <c r="C6" s="47">
        <v>11.3</v>
      </c>
      <c r="D6" s="46">
        <v>8</v>
      </c>
    </row>
    <row r="7" spans="1:4" s="48" customFormat="1" ht="15" customHeight="1" x14ac:dyDescent="0.2">
      <c r="A7" s="46" t="s">
        <v>52</v>
      </c>
      <c r="B7" s="47">
        <v>8.27</v>
      </c>
      <c r="C7" s="47">
        <v>8.35</v>
      </c>
      <c r="D7" s="46">
        <v>8</v>
      </c>
    </row>
    <row r="8" spans="1:4" s="48" customFormat="1" ht="15" customHeight="1" x14ac:dyDescent="0.2">
      <c r="A8" s="46"/>
      <c r="B8" s="47">
        <v>13.48</v>
      </c>
      <c r="C8" s="47">
        <v>13.5</v>
      </c>
      <c r="D8" s="46">
        <v>2</v>
      </c>
    </row>
    <row r="9" spans="1:4" s="48" customFormat="1" ht="15" customHeight="1" x14ac:dyDescent="0.2">
      <c r="A9" s="46"/>
      <c r="B9" s="47">
        <v>14.35</v>
      </c>
      <c r="C9" s="47">
        <v>17.59</v>
      </c>
      <c r="D9" s="46">
        <v>194</v>
      </c>
    </row>
    <row r="10" spans="1:4" s="48" customFormat="1" ht="15" customHeight="1" x14ac:dyDescent="0.2">
      <c r="A10" s="46" t="s">
        <v>53</v>
      </c>
      <c r="B10" s="47">
        <v>12.58</v>
      </c>
      <c r="C10" s="47">
        <v>13.1</v>
      </c>
      <c r="D10" s="46">
        <v>12</v>
      </c>
    </row>
    <row r="11" spans="1:4" s="48" customFormat="1" ht="15" customHeight="1" x14ac:dyDescent="0.2">
      <c r="A11" s="46"/>
      <c r="B11" s="47">
        <v>14.26</v>
      </c>
      <c r="C11" s="47">
        <v>14.3</v>
      </c>
      <c r="D11" s="46">
        <v>4</v>
      </c>
    </row>
    <row r="12" spans="1:4" s="48" customFormat="1" ht="15" customHeight="1" x14ac:dyDescent="0.2">
      <c r="A12" s="46" t="s">
        <v>54</v>
      </c>
      <c r="B12" s="47">
        <v>19.22</v>
      </c>
      <c r="C12" s="47">
        <v>19.37</v>
      </c>
      <c r="D12" s="46">
        <v>15</v>
      </c>
    </row>
    <row r="13" spans="1:4" s="48" customFormat="1" ht="15" customHeight="1" x14ac:dyDescent="0.2">
      <c r="A13" s="46" t="s">
        <v>55</v>
      </c>
      <c r="B13" s="47">
        <v>5.47</v>
      </c>
      <c r="C13" s="47">
        <v>5.59</v>
      </c>
      <c r="D13" s="46">
        <v>12</v>
      </c>
    </row>
    <row r="14" spans="1:4" s="48" customFormat="1" ht="15" customHeight="1" x14ac:dyDescent="0.2">
      <c r="A14" s="46" t="s">
        <v>56</v>
      </c>
      <c r="B14" s="47">
        <v>19.37</v>
      </c>
      <c r="C14" s="47">
        <v>19.43</v>
      </c>
      <c r="D14" s="46">
        <v>6</v>
      </c>
    </row>
    <row r="15" spans="1:4" s="48" customFormat="1" ht="15" customHeight="1" x14ac:dyDescent="0.2">
      <c r="A15" s="46"/>
      <c r="B15" s="47">
        <v>22.28</v>
      </c>
      <c r="C15" s="47">
        <v>22.35</v>
      </c>
      <c r="D15" s="46">
        <v>7</v>
      </c>
    </row>
    <row r="16" spans="1:4" s="48" customFormat="1" ht="15" customHeight="1" x14ac:dyDescent="0.2">
      <c r="A16" s="46" t="s">
        <v>57</v>
      </c>
      <c r="B16" s="47">
        <v>13.42</v>
      </c>
      <c r="C16" s="47">
        <v>14.02</v>
      </c>
      <c r="D16" s="46">
        <v>20</v>
      </c>
    </row>
    <row r="17" spans="1:4" s="48" customFormat="1" ht="15" customHeight="1" x14ac:dyDescent="0.2">
      <c r="A17" s="46" t="s">
        <v>58</v>
      </c>
      <c r="B17" s="47">
        <v>16.329999999999998</v>
      </c>
      <c r="C17" s="47">
        <v>16.45</v>
      </c>
      <c r="D17" s="46">
        <v>12</v>
      </c>
    </row>
    <row r="18" spans="1:4" s="48" customFormat="1" ht="15" customHeight="1" x14ac:dyDescent="0.2">
      <c r="A18" s="46" t="s">
        <v>59</v>
      </c>
      <c r="B18" s="47">
        <v>19.38</v>
      </c>
      <c r="C18" s="47">
        <v>19.440000000000001</v>
      </c>
      <c r="D18" s="46">
        <v>6</v>
      </c>
    </row>
    <row r="19" spans="1:4" s="48" customFormat="1" ht="15" customHeight="1" x14ac:dyDescent="0.2">
      <c r="A19" s="46" t="s">
        <v>60</v>
      </c>
      <c r="B19" s="47">
        <v>14.4</v>
      </c>
      <c r="C19" s="47"/>
      <c r="D19" s="46"/>
    </row>
    <row r="20" spans="1:4" s="48" customFormat="1" ht="15" customHeight="1" x14ac:dyDescent="0.2">
      <c r="A20" s="46" t="s">
        <v>61</v>
      </c>
      <c r="B20" s="47"/>
      <c r="C20" s="47">
        <v>13.2</v>
      </c>
      <c r="D20" s="46">
        <v>1360</v>
      </c>
    </row>
    <row r="21" spans="1:4" s="48" customFormat="1" ht="15" customHeight="1" x14ac:dyDescent="0.2">
      <c r="A21" s="46"/>
      <c r="B21" s="47"/>
      <c r="C21" s="47"/>
      <c r="D21" s="46"/>
    </row>
    <row r="22" spans="1:4" s="48" customFormat="1" ht="15" customHeight="1" x14ac:dyDescent="0.2">
      <c r="A22" s="46" t="s">
        <v>62</v>
      </c>
      <c r="B22" s="47">
        <v>10.5</v>
      </c>
      <c r="C22" s="47">
        <v>10.54</v>
      </c>
      <c r="D22" s="46">
        <v>4</v>
      </c>
    </row>
    <row r="23" spans="1:4" s="48" customFormat="1" ht="15" customHeight="1" x14ac:dyDescent="0.2">
      <c r="A23" s="46" t="s">
        <v>63</v>
      </c>
      <c r="B23" s="47">
        <v>13</v>
      </c>
      <c r="C23" s="47">
        <v>13.2</v>
      </c>
      <c r="D23" s="46">
        <v>20</v>
      </c>
    </row>
    <row r="24" spans="1:4" s="48" customFormat="1" ht="15" customHeight="1" x14ac:dyDescent="0.2">
      <c r="A24" s="46"/>
      <c r="B24" s="47">
        <v>16</v>
      </c>
      <c r="C24" s="47">
        <v>16.25</v>
      </c>
      <c r="D24" s="46">
        <v>25</v>
      </c>
    </row>
    <row r="25" spans="1:4" s="48" customFormat="1" ht="15" customHeight="1" x14ac:dyDescent="0.2">
      <c r="A25" s="46" t="s">
        <v>64</v>
      </c>
      <c r="B25" s="47">
        <v>17.100000000000001</v>
      </c>
      <c r="C25" s="47">
        <v>17.170000000000002</v>
      </c>
      <c r="D25" s="46">
        <v>7</v>
      </c>
    </row>
    <row r="26" spans="1:4" s="48" customFormat="1" ht="15" customHeight="1" x14ac:dyDescent="0.2">
      <c r="A26" s="46"/>
      <c r="B26" s="47">
        <v>17.5</v>
      </c>
      <c r="C26" s="47">
        <v>18</v>
      </c>
      <c r="D26" s="46">
        <v>10</v>
      </c>
    </row>
    <row r="27" spans="1:4" s="48" customFormat="1" ht="15" customHeight="1" x14ac:dyDescent="0.2">
      <c r="A27" s="46" t="s">
        <v>65</v>
      </c>
      <c r="B27" s="47">
        <v>11.07</v>
      </c>
      <c r="C27" s="47">
        <v>1</v>
      </c>
      <c r="D27" s="46">
        <v>113</v>
      </c>
    </row>
    <row r="28" spans="1:4" s="48" customFormat="1" ht="15" customHeight="1" x14ac:dyDescent="0.2">
      <c r="A28" s="46"/>
      <c r="B28" s="47">
        <v>17.39</v>
      </c>
      <c r="C28" s="47">
        <v>17.489999999999998</v>
      </c>
      <c r="D28" s="46">
        <v>10</v>
      </c>
    </row>
    <row r="29" spans="1:4" s="48" customFormat="1" ht="15" customHeight="1" x14ac:dyDescent="0.2">
      <c r="A29" s="46"/>
      <c r="B29" s="47">
        <v>17.55</v>
      </c>
      <c r="C29" s="47">
        <v>19.5</v>
      </c>
      <c r="D29" s="46">
        <v>115</v>
      </c>
    </row>
    <row r="30" spans="1:4" s="48" customFormat="1" ht="15" customHeight="1" x14ac:dyDescent="0.2">
      <c r="A30" s="46" t="s">
        <v>66</v>
      </c>
      <c r="B30" s="47">
        <v>15.24</v>
      </c>
      <c r="C30" s="47">
        <v>15.3</v>
      </c>
      <c r="D30" s="46">
        <v>6</v>
      </c>
    </row>
    <row r="31" spans="1:4" s="48" customFormat="1" ht="15" customHeight="1" x14ac:dyDescent="0.2">
      <c r="A31" s="46" t="s">
        <v>67</v>
      </c>
      <c r="B31" s="47">
        <v>10.45</v>
      </c>
      <c r="C31" s="47">
        <v>19.13</v>
      </c>
      <c r="D31" s="46">
        <v>568</v>
      </c>
    </row>
    <row r="32" spans="1:4" s="48" customFormat="1" ht="15" customHeight="1" x14ac:dyDescent="0.2">
      <c r="A32" s="46" t="s">
        <v>68</v>
      </c>
      <c r="B32" s="47">
        <v>12</v>
      </c>
      <c r="C32" s="47">
        <v>15.24</v>
      </c>
      <c r="D32" s="46">
        <f>180+24</f>
        <v>204</v>
      </c>
    </row>
    <row r="33" spans="1:4" s="48" customFormat="1" ht="15" customHeight="1" x14ac:dyDescent="0.25">
      <c r="A33" s="51">
        <v>45505</v>
      </c>
      <c r="B33" s="52"/>
      <c r="C33" s="52"/>
      <c r="D33" s="49">
        <f>SUM(D5:D32)</f>
        <v>2771</v>
      </c>
    </row>
  </sheetData>
  <mergeCells count="2">
    <mergeCell ref="A1:C3"/>
    <mergeCell ref="A33:C3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zoomScale="70" zoomScaleNormal="70" zoomScalePageLayoutView="40" workbookViewId="0">
      <pane ySplit="4" topLeftCell="A5" activePane="bottomLeft" state="frozen"/>
      <selection pane="bottomLeft" activeCell="J22" sqref="J22"/>
    </sheetView>
  </sheetViews>
  <sheetFormatPr defaultRowHeight="18.75" x14ac:dyDescent="0.2"/>
  <cols>
    <col min="1" max="1" width="10.28515625" style="6" customWidth="1"/>
    <col min="2" max="2" width="16.28515625" style="6" customWidth="1"/>
    <col min="3" max="3" width="20.28515625" style="6" bestFit="1" customWidth="1"/>
    <col min="4" max="4" width="15.7109375" style="6" customWidth="1"/>
    <col min="5" max="5" width="55.85546875" style="6" customWidth="1"/>
    <col min="6" max="6" width="17" style="6" customWidth="1"/>
    <col min="7" max="7" width="11.85546875" style="9" customWidth="1"/>
    <col min="8" max="8" width="15.140625" style="9" customWidth="1"/>
    <col min="9" max="9" width="42.85546875" style="6" customWidth="1"/>
    <col min="10" max="10" width="45.140625" style="6" customWidth="1"/>
    <col min="11" max="11" width="22.140625" style="6" bestFit="1" customWidth="1"/>
    <col min="12" max="12" width="23" style="7" customWidth="1"/>
    <col min="13" max="13" width="11.28515625" style="7" customWidth="1"/>
    <col min="14" max="14" width="8.5703125" style="5" bestFit="1" customWidth="1"/>
    <col min="15" max="16384" width="9.140625" style="5"/>
  </cols>
  <sheetData>
    <row r="1" spans="1:13" s="1" customFormat="1" ht="18" customHeight="1" x14ac:dyDescent="0.2">
      <c r="A1" s="55"/>
      <c r="B1" s="56"/>
      <c r="C1" s="63" t="s">
        <v>6</v>
      </c>
      <c r="D1" s="64"/>
      <c r="E1" s="64"/>
      <c r="F1" s="64"/>
      <c r="G1" s="64"/>
      <c r="H1" s="64"/>
      <c r="I1" s="64"/>
      <c r="J1" s="65"/>
      <c r="K1" s="61"/>
      <c r="L1" s="62"/>
    </row>
    <row r="2" spans="1:13" s="1" customFormat="1" ht="18" x14ac:dyDescent="0.2">
      <c r="A2" s="57"/>
      <c r="B2" s="58"/>
      <c r="C2" s="63"/>
      <c r="D2" s="64"/>
      <c r="E2" s="64"/>
      <c r="F2" s="64"/>
      <c r="G2" s="64"/>
      <c r="H2" s="64"/>
      <c r="I2" s="64"/>
      <c r="J2" s="65"/>
      <c r="K2" s="61"/>
      <c r="L2" s="62"/>
    </row>
    <row r="3" spans="1:13" s="1" customFormat="1" ht="18" x14ac:dyDescent="0.2">
      <c r="A3" s="59"/>
      <c r="B3" s="60"/>
      <c r="C3" s="66"/>
      <c r="D3" s="67"/>
      <c r="E3" s="67"/>
      <c r="F3" s="67"/>
      <c r="G3" s="67"/>
      <c r="H3" s="67"/>
      <c r="I3" s="67"/>
      <c r="J3" s="68"/>
      <c r="K3" s="61"/>
      <c r="L3" s="62"/>
    </row>
    <row r="4" spans="1:13" s="15" customFormat="1" ht="37.5" x14ac:dyDescent="0.2">
      <c r="A4" s="2" t="s">
        <v>4</v>
      </c>
      <c r="B4" s="2" t="s">
        <v>5</v>
      </c>
      <c r="C4" s="2" t="s">
        <v>0</v>
      </c>
      <c r="D4" s="2" t="s">
        <v>9</v>
      </c>
      <c r="E4" s="2" t="s">
        <v>1</v>
      </c>
      <c r="F4" s="2" t="s">
        <v>2</v>
      </c>
      <c r="G4" s="2" t="s">
        <v>3</v>
      </c>
      <c r="H4" s="2" t="s">
        <v>20</v>
      </c>
      <c r="I4" s="2" t="s">
        <v>8</v>
      </c>
      <c r="J4" s="2" t="s">
        <v>14</v>
      </c>
      <c r="K4" s="2" t="s">
        <v>7</v>
      </c>
      <c r="L4" s="14" t="s">
        <v>13</v>
      </c>
    </row>
    <row r="5" spans="1:13" ht="56.25" x14ac:dyDescent="0.2">
      <c r="A5" s="53">
        <v>45505</v>
      </c>
      <c r="B5" s="13" t="s">
        <v>16</v>
      </c>
      <c r="C5" s="42" t="s">
        <v>17</v>
      </c>
      <c r="D5" s="13" t="s">
        <v>18</v>
      </c>
      <c r="E5" s="13" t="s">
        <v>19</v>
      </c>
      <c r="F5" s="13"/>
      <c r="G5" s="8"/>
      <c r="H5" s="8">
        <v>60</v>
      </c>
      <c r="I5" s="13" t="s">
        <v>21</v>
      </c>
      <c r="J5" s="13" t="s">
        <v>29</v>
      </c>
      <c r="K5" s="41" t="s">
        <v>22</v>
      </c>
      <c r="L5" s="4" t="s">
        <v>23</v>
      </c>
      <c r="M5" s="5"/>
    </row>
    <row r="6" spans="1:13" ht="37.5" x14ac:dyDescent="0.2">
      <c r="A6" s="54"/>
      <c r="B6" s="13" t="s">
        <v>24</v>
      </c>
      <c r="C6" s="42" t="s">
        <v>25</v>
      </c>
      <c r="D6" s="13" t="s">
        <v>18</v>
      </c>
      <c r="E6" s="13" t="s">
        <v>26</v>
      </c>
      <c r="F6" s="8">
        <v>16</v>
      </c>
      <c r="G6" s="8">
        <v>16</v>
      </c>
      <c r="H6" s="8">
        <f>24*60</f>
        <v>1440</v>
      </c>
      <c r="I6" s="13" t="s">
        <v>27</v>
      </c>
      <c r="J6" s="13" t="s">
        <v>28</v>
      </c>
      <c r="K6" s="41" t="s">
        <v>30</v>
      </c>
      <c r="L6" s="4" t="s">
        <v>23</v>
      </c>
      <c r="M6" s="5"/>
    </row>
  </sheetData>
  <sortState ref="A244:AC244">
    <sortCondition descending="1" ref="A244"/>
  </sortState>
  <mergeCells count="6">
    <mergeCell ref="A1:B3"/>
    <mergeCell ref="K1:L1"/>
    <mergeCell ref="K2:L2"/>
    <mergeCell ref="K3:L3"/>
    <mergeCell ref="C1:J3"/>
    <mergeCell ref="A5:A6"/>
  </mergeCells>
  <pageMargins left="0" right="0" top="0.74803149606299213" bottom="0.74803149606299213" header="0.31496062992125984" footer="0.31496062992125984"/>
  <pageSetup scale="4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zoomScale="70" zoomScaleNormal="70" zoomScalePageLayoutView="40" workbookViewId="0">
      <pane ySplit="3" topLeftCell="A4" activePane="bottomLeft" state="frozen"/>
      <selection pane="bottomLeft" activeCell="H10" sqref="H10"/>
    </sheetView>
  </sheetViews>
  <sheetFormatPr defaultRowHeight="18.75" x14ac:dyDescent="0.2"/>
  <cols>
    <col min="1" max="1" width="9.85546875" style="6" customWidth="1"/>
    <col min="2" max="2" width="17.5703125" style="6" customWidth="1"/>
    <col min="3" max="3" width="15.85546875" style="6" customWidth="1"/>
    <col min="4" max="4" width="18.5703125" style="6" customWidth="1"/>
    <col min="5" max="5" width="53.5703125" style="6" bestFit="1" customWidth="1"/>
    <col min="6" max="6" width="19.28515625" style="6" bestFit="1" customWidth="1"/>
    <col min="7" max="7" width="34.5703125" style="6" customWidth="1"/>
    <col min="8" max="8" width="47.5703125" style="6" bestFit="1" customWidth="1"/>
    <col min="9" max="9" width="47.5703125" style="6" customWidth="1"/>
    <col min="10" max="16384" width="9.140625" style="5"/>
  </cols>
  <sheetData>
    <row r="1" spans="1:9" s="1" customFormat="1" ht="24.75" customHeight="1" x14ac:dyDescent="0.2">
      <c r="A1" s="55"/>
      <c r="B1" s="56"/>
      <c r="C1" s="69" t="s">
        <v>12</v>
      </c>
      <c r="D1" s="70"/>
      <c r="E1" s="70"/>
      <c r="F1" s="70"/>
      <c r="G1" s="70"/>
      <c r="H1" s="71"/>
      <c r="I1" s="31"/>
    </row>
    <row r="2" spans="1:9" s="1" customFormat="1" ht="33.75" customHeight="1" x14ac:dyDescent="0.2">
      <c r="A2" s="57"/>
      <c r="B2" s="58"/>
      <c r="C2" s="72"/>
      <c r="D2" s="73"/>
      <c r="E2" s="73"/>
      <c r="F2" s="73"/>
      <c r="G2" s="73"/>
      <c r="H2" s="74"/>
      <c r="I2" s="32"/>
    </row>
    <row r="3" spans="1:9" s="3" customFormat="1" ht="108.75" customHeight="1" x14ac:dyDescent="0.2">
      <c r="A3" s="11" t="s">
        <v>4</v>
      </c>
      <c r="B3" s="11" t="s">
        <v>5</v>
      </c>
      <c r="C3" s="11" t="s">
        <v>0</v>
      </c>
      <c r="D3" s="11" t="s">
        <v>9</v>
      </c>
      <c r="E3" s="12" t="s">
        <v>1</v>
      </c>
      <c r="F3" s="11" t="s">
        <v>10</v>
      </c>
      <c r="G3" s="11" t="s">
        <v>31</v>
      </c>
      <c r="H3" s="11" t="s">
        <v>15</v>
      </c>
      <c r="I3" s="11" t="s">
        <v>34</v>
      </c>
    </row>
    <row r="4" spans="1:9" ht="37.5" x14ac:dyDescent="0.2">
      <c r="A4" s="21">
        <v>45505</v>
      </c>
      <c r="B4" s="13" t="s">
        <v>24</v>
      </c>
      <c r="C4" s="13" t="s">
        <v>25</v>
      </c>
      <c r="D4" s="13" t="s">
        <v>18</v>
      </c>
      <c r="E4" s="13" t="s">
        <v>26</v>
      </c>
      <c r="F4" s="10">
        <v>1440</v>
      </c>
      <c r="G4" s="13" t="s">
        <v>32</v>
      </c>
      <c r="H4" s="10" t="s">
        <v>33</v>
      </c>
      <c r="I4" s="13" t="s">
        <v>35</v>
      </c>
    </row>
  </sheetData>
  <sortState ref="A4:H4">
    <sortCondition descending="1" ref="A4"/>
  </sortState>
  <mergeCells count="2">
    <mergeCell ref="A1:B2"/>
    <mergeCell ref="C1:H2"/>
  </mergeCells>
  <pageMargins left="0" right="0" top="0.74803149606299213" bottom="0" header="0.31496062992125984" footer="0.31496062992125984"/>
  <pageSetup paperSize="9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workbookViewId="0">
      <pane ySplit="4" topLeftCell="A5" activePane="bottomLeft" state="frozen"/>
      <selection pane="bottomLeft" activeCell="H48" sqref="H48"/>
    </sheetView>
  </sheetViews>
  <sheetFormatPr defaultRowHeight="12.75" x14ac:dyDescent="0.2"/>
  <cols>
    <col min="1" max="1" width="11.42578125" style="24" bestFit="1" customWidth="1"/>
    <col min="2" max="2" width="11.85546875" style="24" bestFit="1" customWidth="1"/>
    <col min="3" max="3" width="13.5703125" style="24" customWidth="1"/>
    <col min="4" max="4" width="10.85546875" style="24" bestFit="1" customWidth="1"/>
    <col min="5" max="5" width="10.85546875" style="24" customWidth="1"/>
    <col min="6" max="6" width="16.42578125" style="24" bestFit="1" customWidth="1"/>
    <col min="7" max="7" width="27.85546875" style="24" bestFit="1" customWidth="1"/>
    <col min="8" max="8" width="17.7109375" style="24" customWidth="1"/>
    <col min="9" max="9" width="22.85546875" style="24" bestFit="1" customWidth="1"/>
    <col min="10" max="10" width="20" style="24" bestFit="1" customWidth="1"/>
    <col min="11" max="11" width="12.42578125" style="24" bestFit="1" customWidth="1"/>
    <col min="12" max="12" width="13.42578125" style="24" bestFit="1" customWidth="1"/>
    <col min="13" max="16384" width="9.140625" style="24"/>
  </cols>
  <sheetData>
    <row r="1" spans="1:12" s="1" customFormat="1" ht="18" customHeight="1" x14ac:dyDescent="0.2">
      <c r="A1" s="55"/>
      <c r="B1" s="56"/>
      <c r="C1" s="50" t="s">
        <v>45</v>
      </c>
      <c r="D1" s="50"/>
      <c r="E1" s="50"/>
      <c r="F1" s="50"/>
      <c r="G1" s="50"/>
      <c r="H1" s="50"/>
      <c r="I1" s="50"/>
      <c r="J1" s="81"/>
      <c r="K1" s="81"/>
      <c r="L1" s="81"/>
    </row>
    <row r="2" spans="1:12" s="1" customFormat="1" ht="18" customHeight="1" x14ac:dyDescent="0.2">
      <c r="A2" s="57"/>
      <c r="B2" s="58"/>
      <c r="C2" s="50"/>
      <c r="D2" s="50"/>
      <c r="E2" s="50"/>
      <c r="F2" s="50"/>
      <c r="G2" s="50"/>
      <c r="H2" s="50"/>
      <c r="I2" s="50"/>
      <c r="J2" s="81"/>
      <c r="K2" s="81"/>
      <c r="L2" s="81"/>
    </row>
    <row r="3" spans="1:12" s="1" customFormat="1" ht="18" customHeight="1" x14ac:dyDescent="0.2">
      <c r="A3" s="59"/>
      <c r="B3" s="60"/>
      <c r="C3" s="50"/>
      <c r="D3" s="50"/>
      <c r="E3" s="50"/>
      <c r="F3" s="50"/>
      <c r="G3" s="50"/>
      <c r="H3" s="50"/>
      <c r="I3" s="50"/>
      <c r="J3" s="81"/>
      <c r="K3" s="81"/>
      <c r="L3" s="81"/>
    </row>
    <row r="4" spans="1:12" s="23" customFormat="1" ht="31.5" x14ac:dyDescent="0.2">
      <c r="A4" s="19" t="s">
        <v>37</v>
      </c>
      <c r="B4" s="19" t="s">
        <v>4</v>
      </c>
      <c r="C4" s="19"/>
      <c r="D4" s="19" t="s">
        <v>11</v>
      </c>
      <c r="E4" s="19" t="s">
        <v>42</v>
      </c>
      <c r="F4" s="19" t="s">
        <v>38</v>
      </c>
      <c r="G4" s="19" t="s">
        <v>44</v>
      </c>
      <c r="H4" s="20" t="s">
        <v>39</v>
      </c>
      <c r="I4" s="19" t="s">
        <v>43</v>
      </c>
      <c r="J4" s="20" t="s">
        <v>36</v>
      </c>
      <c r="K4" s="20" t="s">
        <v>41</v>
      </c>
      <c r="L4" s="20" t="s">
        <v>40</v>
      </c>
    </row>
    <row r="5" spans="1:12" s="30" customFormat="1" ht="17.25" hidden="1" customHeight="1" x14ac:dyDescent="0.2">
      <c r="A5" s="27">
        <v>1</v>
      </c>
      <c r="B5" s="33">
        <v>45505</v>
      </c>
      <c r="C5" s="33"/>
      <c r="D5" s="28">
        <f>1500/60</f>
        <v>25</v>
      </c>
      <c r="E5" s="29">
        <f>D5/H5</f>
        <v>7.9664347548993569E-2</v>
      </c>
      <c r="F5" s="28">
        <f>12*30</f>
        <v>360</v>
      </c>
      <c r="G5" s="28">
        <f>2771/60</f>
        <v>46.18333333333333</v>
      </c>
      <c r="H5" s="28">
        <f>F5-G5</f>
        <v>313.81666666666666</v>
      </c>
      <c r="I5" s="29">
        <f>L5/(K5+L5)</f>
        <v>0.92033565245100646</v>
      </c>
      <c r="J5" s="28">
        <v>2</v>
      </c>
      <c r="K5" s="27">
        <f>D5/J5</f>
        <v>12.5</v>
      </c>
      <c r="L5" s="27">
        <f>(H5-D5)/J5</f>
        <v>144.40833333333333</v>
      </c>
    </row>
    <row r="6" spans="1:12" s="30" customFormat="1" ht="17.25" hidden="1" customHeight="1" x14ac:dyDescent="0.2">
      <c r="A6" s="75">
        <v>2</v>
      </c>
      <c r="B6" s="78">
        <v>45536</v>
      </c>
      <c r="C6" s="33" t="s">
        <v>69</v>
      </c>
      <c r="D6" s="28">
        <v>1</v>
      </c>
      <c r="E6" s="29">
        <f t="shared" ref="E6:E24" si="0">D6/H6</f>
        <v>1.100715465052284E-2</v>
      </c>
      <c r="F6" s="28">
        <f>12*8</f>
        <v>96</v>
      </c>
      <c r="G6" s="28">
        <f>309/60</f>
        <v>5.15</v>
      </c>
      <c r="H6" s="28">
        <f t="shared" ref="H6:H24" si="1">F6-G6</f>
        <v>90.85</v>
      </c>
      <c r="I6" s="29">
        <f t="shared" ref="I6:I24" si="2">L6/(K6+L6)</f>
        <v>0.98899284534947718</v>
      </c>
      <c r="J6" s="28">
        <v>1</v>
      </c>
      <c r="K6" s="27">
        <f t="shared" ref="K6:K24" si="3">D6/J6</f>
        <v>1</v>
      </c>
      <c r="L6" s="27">
        <f>(H6-D6)/J6</f>
        <v>89.85</v>
      </c>
    </row>
    <row r="7" spans="1:12" s="30" customFormat="1" ht="17.25" hidden="1" customHeight="1" x14ac:dyDescent="0.2">
      <c r="A7" s="76"/>
      <c r="B7" s="79"/>
      <c r="C7" s="33" t="s">
        <v>70</v>
      </c>
      <c r="D7" s="28">
        <f>390/60</f>
        <v>6.5</v>
      </c>
      <c r="E7" s="29">
        <f t="shared" si="0"/>
        <v>6.8062827225130892E-2</v>
      </c>
      <c r="F7" s="28">
        <f>12*8</f>
        <v>96</v>
      </c>
      <c r="G7" s="28">
        <f>30/60</f>
        <v>0.5</v>
      </c>
      <c r="H7" s="28">
        <f t="shared" si="1"/>
        <v>95.5</v>
      </c>
      <c r="I7" s="29">
        <f t="shared" si="2"/>
        <v>0.93193717277486909</v>
      </c>
      <c r="J7" s="28">
        <v>1</v>
      </c>
      <c r="K7" s="27">
        <f t="shared" si="3"/>
        <v>6.5</v>
      </c>
      <c r="L7" s="27">
        <f t="shared" ref="L7:L24" si="4">(H7-D7)/J7</f>
        <v>89</v>
      </c>
    </row>
    <row r="8" spans="1:12" s="30" customFormat="1" ht="17.25" hidden="1" customHeight="1" x14ac:dyDescent="0.2">
      <c r="A8" s="76"/>
      <c r="B8" s="79"/>
      <c r="C8" s="33" t="s">
        <v>71</v>
      </c>
      <c r="D8" s="28">
        <f>2820/60</f>
        <v>47</v>
      </c>
      <c r="E8" s="29">
        <f t="shared" si="0"/>
        <v>0.63887630267331219</v>
      </c>
      <c r="F8" s="28">
        <f>12*7</f>
        <v>84</v>
      </c>
      <c r="G8" s="28">
        <f>626/60</f>
        <v>10.433333333333334</v>
      </c>
      <c r="H8" s="28">
        <f t="shared" si="1"/>
        <v>73.566666666666663</v>
      </c>
      <c r="I8" s="29">
        <f t="shared" si="2"/>
        <v>0.36112369732668781</v>
      </c>
      <c r="J8" s="28">
        <v>3</v>
      </c>
      <c r="K8" s="27">
        <f t="shared" si="3"/>
        <v>15.666666666666666</v>
      </c>
      <c r="L8" s="27">
        <f t="shared" si="4"/>
        <v>8.8555555555555543</v>
      </c>
    </row>
    <row r="9" spans="1:12" s="30" customFormat="1" ht="17.25" hidden="1" customHeight="1" x14ac:dyDescent="0.2">
      <c r="A9" s="77"/>
      <c r="B9" s="80"/>
      <c r="C9" s="33" t="s">
        <v>72</v>
      </c>
      <c r="D9" s="28">
        <f>289/60</f>
        <v>4.8166666666666664</v>
      </c>
      <c r="E9" s="29">
        <f t="shared" si="0"/>
        <v>7.1094710947109466E-2</v>
      </c>
      <c r="F9" s="28">
        <f>12*6</f>
        <v>72</v>
      </c>
      <c r="G9" s="28">
        <f>255/60</f>
        <v>4.25</v>
      </c>
      <c r="H9" s="28">
        <f t="shared" si="1"/>
        <v>67.75</v>
      </c>
      <c r="I9" s="29">
        <f t="shared" si="2"/>
        <v>0.9289052890528906</v>
      </c>
      <c r="J9" s="28">
        <v>1</v>
      </c>
      <c r="K9" s="27">
        <f t="shared" si="3"/>
        <v>4.8166666666666664</v>
      </c>
      <c r="L9" s="27">
        <f t="shared" si="4"/>
        <v>62.933333333333337</v>
      </c>
    </row>
    <row r="10" spans="1:12" s="30" customFormat="1" ht="17.25" hidden="1" customHeight="1" x14ac:dyDescent="0.2">
      <c r="A10" s="35"/>
      <c r="B10" s="36"/>
      <c r="C10" s="37"/>
      <c r="D10" s="38">
        <f>SUM(D6:D9)</f>
        <v>59.316666666666663</v>
      </c>
      <c r="E10" s="39"/>
      <c r="F10" s="38">
        <f>SUM(F6:F9)</f>
        <v>348</v>
      </c>
      <c r="G10" s="38">
        <f>SUM(G6:G9)</f>
        <v>20.333333333333336</v>
      </c>
      <c r="H10" s="38">
        <f>SUM(H6:H9)</f>
        <v>327.66666666666663</v>
      </c>
      <c r="I10" s="39">
        <f t="shared" si="2"/>
        <v>0.81897253306205486</v>
      </c>
      <c r="J10" s="38">
        <f>SUM(J6:J9)</f>
        <v>6</v>
      </c>
      <c r="K10" s="40">
        <f t="shared" si="3"/>
        <v>9.8861111111111111</v>
      </c>
      <c r="L10" s="40">
        <f t="shared" si="4"/>
        <v>44.724999999999994</v>
      </c>
    </row>
    <row r="11" spans="1:12" s="30" customFormat="1" ht="17.25" hidden="1" customHeight="1" x14ac:dyDescent="0.2">
      <c r="A11" s="75">
        <v>3</v>
      </c>
      <c r="B11" s="78">
        <v>45566</v>
      </c>
      <c r="C11" s="33" t="s">
        <v>69</v>
      </c>
      <c r="D11" s="28">
        <v>0</v>
      </c>
      <c r="E11" s="29">
        <f t="shared" si="0"/>
        <v>0</v>
      </c>
      <c r="F11" s="28">
        <f>12*6</f>
        <v>72</v>
      </c>
      <c r="G11" s="28">
        <f>411/60</f>
        <v>6.85</v>
      </c>
      <c r="H11" s="28">
        <f t="shared" si="1"/>
        <v>65.150000000000006</v>
      </c>
      <c r="I11" s="29" t="e">
        <f t="shared" si="2"/>
        <v>#DIV/0!</v>
      </c>
      <c r="J11" s="28">
        <v>0</v>
      </c>
      <c r="K11" s="27" t="e">
        <f t="shared" si="3"/>
        <v>#DIV/0!</v>
      </c>
      <c r="L11" s="27" t="e">
        <f t="shared" si="4"/>
        <v>#DIV/0!</v>
      </c>
    </row>
    <row r="12" spans="1:12" s="30" customFormat="1" ht="17.25" hidden="1" customHeight="1" x14ac:dyDescent="0.2">
      <c r="A12" s="76"/>
      <c r="B12" s="79"/>
      <c r="C12" s="33" t="s">
        <v>70</v>
      </c>
      <c r="D12" s="30">
        <v>0</v>
      </c>
      <c r="E12" s="29">
        <f t="shared" si="0"/>
        <v>0</v>
      </c>
      <c r="F12" s="28">
        <f>12*6</f>
        <v>72</v>
      </c>
      <c r="G12" s="28">
        <f>626/60</f>
        <v>10.433333333333334</v>
      </c>
      <c r="H12" s="28">
        <f t="shared" si="1"/>
        <v>61.566666666666663</v>
      </c>
      <c r="I12" s="29" t="e">
        <f t="shared" si="2"/>
        <v>#DIV/0!</v>
      </c>
      <c r="J12" s="34">
        <v>0</v>
      </c>
      <c r="K12" s="27" t="e">
        <f t="shared" si="3"/>
        <v>#DIV/0!</v>
      </c>
      <c r="L12" s="27" t="e">
        <f t="shared" si="4"/>
        <v>#DIV/0!</v>
      </c>
    </row>
    <row r="13" spans="1:12" s="30" customFormat="1" ht="17.25" hidden="1" customHeight="1" x14ac:dyDescent="0.2">
      <c r="A13" s="76"/>
      <c r="B13" s="79"/>
      <c r="C13" s="33" t="s">
        <v>71</v>
      </c>
      <c r="D13" s="28">
        <f>360/60</f>
        <v>6</v>
      </c>
      <c r="E13" s="29">
        <f t="shared" si="0"/>
        <v>8.6145010768126334E-2</v>
      </c>
      <c r="F13" s="28">
        <f>12*7</f>
        <v>84</v>
      </c>
      <c r="G13" s="28">
        <f>861/60</f>
        <v>14.35</v>
      </c>
      <c r="H13" s="28">
        <f t="shared" si="1"/>
        <v>69.650000000000006</v>
      </c>
      <c r="I13" s="29">
        <f t="shared" si="2"/>
        <v>0.91385498923187369</v>
      </c>
      <c r="J13" s="28">
        <v>1</v>
      </c>
      <c r="K13" s="27">
        <f t="shared" si="3"/>
        <v>6</v>
      </c>
      <c r="L13" s="27">
        <f t="shared" si="4"/>
        <v>63.650000000000006</v>
      </c>
    </row>
    <row r="14" spans="1:12" s="30" customFormat="1" ht="17.25" hidden="1" customHeight="1" x14ac:dyDescent="0.2">
      <c r="A14" s="77"/>
      <c r="B14" s="80"/>
      <c r="C14" s="33" t="s">
        <v>72</v>
      </c>
      <c r="D14" s="28">
        <v>119.5</v>
      </c>
      <c r="E14" s="29">
        <f t="shared" si="0"/>
        <v>0.72548821208135184</v>
      </c>
      <c r="F14" s="28">
        <f>24*7</f>
        <v>168</v>
      </c>
      <c r="G14" s="28">
        <f>197/60</f>
        <v>3.2833333333333332</v>
      </c>
      <c r="H14" s="28">
        <f t="shared" si="1"/>
        <v>164.71666666666667</v>
      </c>
      <c r="I14" s="29">
        <f t="shared" si="2"/>
        <v>0.27451178791864816</v>
      </c>
      <c r="J14" s="34">
        <v>2</v>
      </c>
      <c r="K14" s="27">
        <f t="shared" si="3"/>
        <v>59.75</v>
      </c>
      <c r="L14" s="27">
        <f t="shared" si="4"/>
        <v>22.608333333333334</v>
      </c>
    </row>
    <row r="15" spans="1:12" s="30" customFormat="1" ht="17.25" hidden="1" customHeight="1" x14ac:dyDescent="0.2">
      <c r="A15" s="35"/>
      <c r="B15" s="36"/>
      <c r="C15" s="37"/>
      <c r="D15" s="38">
        <f>SUM(D11:D14)</f>
        <v>125.5</v>
      </c>
      <c r="E15" s="39"/>
      <c r="F15" s="38">
        <f>SUM(F11:F14)</f>
        <v>396</v>
      </c>
      <c r="G15" s="38">
        <f>SUM(G11:G14)</f>
        <v>34.916666666666664</v>
      </c>
      <c r="H15" s="38">
        <f>SUM(H11:H14)</f>
        <v>361.08333333333337</v>
      </c>
      <c r="I15" s="39">
        <f t="shared" ref="I15" si="5">L15/(K15+L15)</f>
        <v>0.65243480267712906</v>
      </c>
      <c r="J15" s="38">
        <f>SUM(J11:J14)</f>
        <v>3</v>
      </c>
      <c r="K15" s="40">
        <f t="shared" ref="K15" si="6">D15/J15</f>
        <v>41.833333333333336</v>
      </c>
      <c r="L15" s="40">
        <f t="shared" ref="L15" si="7">(H15-D15)/J15</f>
        <v>78.527777777777786</v>
      </c>
    </row>
    <row r="16" spans="1:12" s="30" customFormat="1" ht="17.25" hidden="1" customHeight="1" x14ac:dyDescent="0.2">
      <c r="A16" s="75">
        <v>3</v>
      </c>
      <c r="B16" s="78">
        <v>45597</v>
      </c>
      <c r="C16" s="33" t="s">
        <v>69</v>
      </c>
      <c r="D16" s="28">
        <v>0</v>
      </c>
      <c r="E16" s="29">
        <f t="shared" si="0"/>
        <v>0</v>
      </c>
      <c r="F16" s="28">
        <f>12*4</f>
        <v>48</v>
      </c>
      <c r="G16" s="28">
        <f>43/60</f>
        <v>0.71666666666666667</v>
      </c>
      <c r="H16" s="28">
        <f t="shared" si="1"/>
        <v>47.283333333333331</v>
      </c>
      <c r="I16" s="29" t="e">
        <f t="shared" si="2"/>
        <v>#DIV/0!</v>
      </c>
      <c r="J16" s="34">
        <v>0</v>
      </c>
      <c r="K16" s="27" t="e">
        <f t="shared" si="3"/>
        <v>#DIV/0!</v>
      </c>
      <c r="L16" s="27" t="e">
        <f t="shared" si="4"/>
        <v>#DIV/0!</v>
      </c>
    </row>
    <row r="17" spans="1:12" s="30" customFormat="1" ht="17.25" hidden="1" customHeight="1" x14ac:dyDescent="0.2">
      <c r="A17" s="76"/>
      <c r="B17" s="79"/>
      <c r="C17" s="33" t="s">
        <v>70</v>
      </c>
      <c r="D17" s="28">
        <v>34</v>
      </c>
      <c r="E17" s="29">
        <f t="shared" si="0"/>
        <v>0.14251781472684086</v>
      </c>
      <c r="F17" s="28">
        <f>24*10</f>
        <v>240</v>
      </c>
      <c r="G17" s="28">
        <f>86/60</f>
        <v>1.4333333333333333</v>
      </c>
      <c r="H17" s="28">
        <f t="shared" si="1"/>
        <v>238.56666666666666</v>
      </c>
      <c r="I17" s="29">
        <f t="shared" si="2"/>
        <v>0.85748218527315911</v>
      </c>
      <c r="J17" s="34">
        <v>1</v>
      </c>
      <c r="K17" s="27">
        <f t="shared" si="3"/>
        <v>34</v>
      </c>
      <c r="L17" s="27">
        <f t="shared" si="4"/>
        <v>204.56666666666666</v>
      </c>
    </row>
    <row r="18" spans="1:12" s="30" customFormat="1" ht="17.25" hidden="1" customHeight="1" x14ac:dyDescent="0.2">
      <c r="A18" s="76"/>
      <c r="B18" s="79"/>
      <c r="C18" s="33" t="s">
        <v>71</v>
      </c>
      <c r="D18" s="28">
        <f>420/60</f>
        <v>7</v>
      </c>
      <c r="E18" s="29">
        <f t="shared" si="0"/>
        <v>2.96652069501342E-2</v>
      </c>
      <c r="F18" s="28">
        <f>24*10</f>
        <v>240</v>
      </c>
      <c r="G18" s="28">
        <f>242/60</f>
        <v>4.0333333333333332</v>
      </c>
      <c r="H18" s="28">
        <f t="shared" si="1"/>
        <v>235.96666666666667</v>
      </c>
      <c r="I18" s="29">
        <f t="shared" si="2"/>
        <v>0.97033479304986581</v>
      </c>
      <c r="J18" s="34">
        <v>1</v>
      </c>
      <c r="K18" s="27">
        <f t="shared" si="3"/>
        <v>7</v>
      </c>
      <c r="L18" s="27">
        <f t="shared" si="4"/>
        <v>228.96666666666667</v>
      </c>
    </row>
    <row r="19" spans="1:12" s="30" customFormat="1" ht="17.25" hidden="1" customHeight="1" x14ac:dyDescent="0.2">
      <c r="A19" s="77"/>
      <c r="B19" s="80"/>
      <c r="C19" s="33" t="s">
        <v>72</v>
      </c>
      <c r="D19" s="28">
        <v>0</v>
      </c>
      <c r="E19" s="29">
        <f t="shared" si="0"/>
        <v>0</v>
      </c>
      <c r="F19" s="28">
        <f>24*4</f>
        <v>96</v>
      </c>
      <c r="G19" s="28">
        <f>311/60</f>
        <v>5.1833333333333336</v>
      </c>
      <c r="H19" s="28">
        <f t="shared" si="1"/>
        <v>90.816666666666663</v>
      </c>
      <c r="I19" s="29" t="e">
        <f t="shared" si="2"/>
        <v>#DIV/0!</v>
      </c>
      <c r="J19" s="34">
        <v>0</v>
      </c>
      <c r="K19" s="27" t="e">
        <f t="shared" si="3"/>
        <v>#DIV/0!</v>
      </c>
      <c r="L19" s="27" t="e">
        <f t="shared" si="4"/>
        <v>#DIV/0!</v>
      </c>
    </row>
    <row r="20" spans="1:12" s="30" customFormat="1" ht="17.25" hidden="1" customHeight="1" x14ac:dyDescent="0.2">
      <c r="A20" s="35"/>
      <c r="B20" s="36"/>
      <c r="C20" s="37"/>
      <c r="D20" s="38">
        <f>SUM(D16:D19)</f>
        <v>41</v>
      </c>
      <c r="E20" s="39"/>
      <c r="F20" s="38">
        <f>SUM(F16:F19)</f>
        <v>624</v>
      </c>
      <c r="G20" s="38">
        <f>SUM(G16:G19)</f>
        <v>11.366666666666667</v>
      </c>
      <c r="H20" s="38">
        <f>SUM(H16:H19)</f>
        <v>612.63333333333344</v>
      </c>
      <c r="I20" s="39">
        <f t="shared" si="2"/>
        <v>0.93307579302464771</v>
      </c>
      <c r="J20" s="38">
        <f>SUM(J16:J19)</f>
        <v>2</v>
      </c>
      <c r="K20" s="40">
        <f t="shared" si="3"/>
        <v>20.5</v>
      </c>
      <c r="L20" s="40">
        <f t="shared" si="4"/>
        <v>285.81666666666672</v>
      </c>
    </row>
    <row r="21" spans="1:12" s="30" customFormat="1" ht="17.25" hidden="1" customHeight="1" x14ac:dyDescent="0.2">
      <c r="A21" s="75">
        <v>4</v>
      </c>
      <c r="B21" s="78">
        <v>45627</v>
      </c>
      <c r="C21" s="33" t="s">
        <v>69</v>
      </c>
      <c r="D21" s="28">
        <v>38</v>
      </c>
      <c r="E21" s="29">
        <f t="shared" si="0"/>
        <v>0.39901995099754989</v>
      </c>
      <c r="F21" s="28">
        <f>12*8</f>
        <v>96</v>
      </c>
      <c r="G21" s="28">
        <f>46/60</f>
        <v>0.76666666666666672</v>
      </c>
      <c r="H21" s="28">
        <f t="shared" si="1"/>
        <v>95.233333333333334</v>
      </c>
      <c r="I21" s="29">
        <f t="shared" si="2"/>
        <v>0.60098004900245017</v>
      </c>
      <c r="J21" s="34">
        <v>1</v>
      </c>
      <c r="K21" s="27">
        <f t="shared" si="3"/>
        <v>38</v>
      </c>
      <c r="L21" s="27">
        <f t="shared" si="4"/>
        <v>57.233333333333334</v>
      </c>
    </row>
    <row r="22" spans="1:12" s="30" customFormat="1" ht="17.25" hidden="1" customHeight="1" x14ac:dyDescent="0.2">
      <c r="A22" s="76"/>
      <c r="B22" s="79"/>
      <c r="C22" s="33" t="s">
        <v>70</v>
      </c>
      <c r="D22" s="28">
        <v>0</v>
      </c>
      <c r="E22" s="29">
        <v>0</v>
      </c>
      <c r="F22" s="28">
        <f>24*7</f>
        <v>168</v>
      </c>
      <c r="G22" s="28">
        <f>238/60</f>
        <v>3.9666666666666668</v>
      </c>
      <c r="H22" s="28">
        <f t="shared" si="1"/>
        <v>164.03333333333333</v>
      </c>
      <c r="I22" s="29" t="e">
        <f t="shared" si="2"/>
        <v>#DIV/0!</v>
      </c>
      <c r="J22" s="34">
        <v>0</v>
      </c>
      <c r="K22" s="27" t="e">
        <f t="shared" si="3"/>
        <v>#DIV/0!</v>
      </c>
      <c r="L22" s="27" t="e">
        <f t="shared" si="4"/>
        <v>#DIV/0!</v>
      </c>
    </row>
    <row r="23" spans="1:12" s="30" customFormat="1" ht="17.25" hidden="1" customHeight="1" x14ac:dyDescent="0.2">
      <c r="A23" s="76"/>
      <c r="B23" s="79"/>
      <c r="C23" s="33" t="s">
        <v>71</v>
      </c>
      <c r="D23" s="28">
        <v>0</v>
      </c>
      <c r="E23" s="29">
        <v>0</v>
      </c>
      <c r="F23" s="28">
        <f>24*8</f>
        <v>192</v>
      </c>
      <c r="G23" s="28">
        <f>319/60</f>
        <v>5.3166666666666664</v>
      </c>
      <c r="H23" s="28">
        <f t="shared" si="1"/>
        <v>186.68333333333334</v>
      </c>
      <c r="I23" s="29" t="e">
        <f t="shared" si="2"/>
        <v>#DIV/0!</v>
      </c>
      <c r="J23" s="34">
        <v>0</v>
      </c>
      <c r="K23" s="27" t="e">
        <f t="shared" si="3"/>
        <v>#DIV/0!</v>
      </c>
      <c r="L23" s="27" t="e">
        <f t="shared" si="4"/>
        <v>#DIV/0!</v>
      </c>
    </row>
    <row r="24" spans="1:12" s="30" customFormat="1" ht="17.25" hidden="1" customHeight="1" x14ac:dyDescent="0.2">
      <c r="A24" s="77"/>
      <c r="B24" s="80"/>
      <c r="C24" s="33" t="s">
        <v>72</v>
      </c>
      <c r="D24" s="28">
        <v>0</v>
      </c>
      <c r="E24" s="29">
        <f t="shared" si="0"/>
        <v>0</v>
      </c>
      <c r="F24" s="28">
        <f>24*8</f>
        <v>192</v>
      </c>
      <c r="G24" s="28">
        <f>118/60</f>
        <v>1.9666666666666666</v>
      </c>
      <c r="H24" s="28">
        <f t="shared" si="1"/>
        <v>190.03333333333333</v>
      </c>
      <c r="I24" s="29" t="e">
        <f t="shared" si="2"/>
        <v>#DIV/0!</v>
      </c>
      <c r="J24" s="34">
        <v>0</v>
      </c>
      <c r="K24" s="27" t="e">
        <f t="shared" si="3"/>
        <v>#DIV/0!</v>
      </c>
      <c r="L24" s="27" t="e">
        <f t="shared" si="4"/>
        <v>#DIV/0!</v>
      </c>
    </row>
    <row r="25" spans="1:12" s="30" customFormat="1" ht="17.25" hidden="1" customHeight="1" x14ac:dyDescent="0.2">
      <c r="A25" s="35"/>
      <c r="B25" s="36"/>
      <c r="C25" s="37"/>
      <c r="D25" s="38">
        <f>SUM(D21:D24)</f>
        <v>38</v>
      </c>
      <c r="E25" s="39"/>
      <c r="F25" s="38">
        <f>SUM(F21:F24)</f>
        <v>648</v>
      </c>
      <c r="G25" s="38">
        <f>SUM(G21:G24)</f>
        <v>12.016666666666667</v>
      </c>
      <c r="H25" s="38">
        <f>SUM(H21:H24)</f>
        <v>635.98333333333335</v>
      </c>
      <c r="I25" s="39">
        <f t="shared" ref="I25:I29" si="8">L25/(K25+L25)</f>
        <v>0.94025000655153435</v>
      </c>
      <c r="J25" s="38">
        <f>SUM(J21:J24)</f>
        <v>1</v>
      </c>
      <c r="K25" s="40">
        <f t="shared" ref="K25:K29" si="9">D25/J25</f>
        <v>38</v>
      </c>
      <c r="L25" s="40">
        <f t="shared" ref="L25:L29" si="10">(H25-D25)/J25</f>
        <v>597.98333333333335</v>
      </c>
    </row>
    <row r="26" spans="1:12" s="30" customFormat="1" ht="17.25" customHeight="1" x14ac:dyDescent="0.2">
      <c r="A26" s="75">
        <v>5</v>
      </c>
      <c r="B26" s="78">
        <v>45658</v>
      </c>
      <c r="C26" s="33" t="s">
        <v>69</v>
      </c>
      <c r="D26" s="28">
        <f>960/60</f>
        <v>16</v>
      </c>
      <c r="E26" s="29">
        <f t="shared" ref="E26:E29" si="11">D26/H26</f>
        <v>5.6480555392128019E-2</v>
      </c>
      <c r="F26" s="28">
        <f>24*12</f>
        <v>288</v>
      </c>
      <c r="G26" s="28">
        <f>283/60</f>
        <v>4.7166666666666668</v>
      </c>
      <c r="H26" s="28">
        <f t="shared" ref="H26:H29" si="12">F26-G26</f>
        <v>283.28333333333336</v>
      </c>
      <c r="I26" s="29">
        <f t="shared" si="8"/>
        <v>0.94351944460787196</v>
      </c>
      <c r="J26" s="34">
        <v>2</v>
      </c>
      <c r="K26" s="27">
        <f t="shared" si="9"/>
        <v>8</v>
      </c>
      <c r="L26" s="27">
        <f t="shared" si="10"/>
        <v>133.64166666666668</v>
      </c>
    </row>
    <row r="27" spans="1:12" s="30" customFormat="1" ht="17.25" customHeight="1" x14ac:dyDescent="0.2">
      <c r="A27" s="76"/>
      <c r="B27" s="79"/>
      <c r="C27" s="33" t="s">
        <v>70</v>
      </c>
      <c r="D27" s="28">
        <v>0</v>
      </c>
      <c r="E27" s="29">
        <f t="shared" si="11"/>
        <v>0</v>
      </c>
      <c r="F27" s="28">
        <f>24*14</f>
        <v>336</v>
      </c>
      <c r="G27" s="28">
        <f>372/60</f>
        <v>6.2</v>
      </c>
      <c r="H27" s="28">
        <f t="shared" si="12"/>
        <v>329.8</v>
      </c>
      <c r="I27" s="29" t="e">
        <f t="shared" si="8"/>
        <v>#DIV/0!</v>
      </c>
      <c r="J27" s="34">
        <v>0</v>
      </c>
      <c r="K27" s="27" t="e">
        <f t="shared" si="9"/>
        <v>#DIV/0!</v>
      </c>
      <c r="L27" s="27" t="e">
        <f t="shared" si="10"/>
        <v>#DIV/0!</v>
      </c>
    </row>
    <row r="28" spans="1:12" s="30" customFormat="1" ht="17.25" customHeight="1" x14ac:dyDescent="0.2">
      <c r="A28" s="76"/>
      <c r="B28" s="79"/>
      <c r="C28" s="33" t="s">
        <v>71</v>
      </c>
      <c r="D28" s="28">
        <v>0</v>
      </c>
      <c r="E28" s="29">
        <f t="shared" si="11"/>
        <v>0</v>
      </c>
      <c r="F28" s="28">
        <f>24*5</f>
        <v>120</v>
      </c>
      <c r="G28" s="28">
        <f>701/60</f>
        <v>11.683333333333334</v>
      </c>
      <c r="H28" s="28">
        <f t="shared" si="12"/>
        <v>108.31666666666666</v>
      </c>
      <c r="I28" s="29" t="e">
        <f t="shared" si="8"/>
        <v>#DIV/0!</v>
      </c>
      <c r="J28" s="34">
        <v>0</v>
      </c>
      <c r="K28" s="27" t="e">
        <f t="shared" si="9"/>
        <v>#DIV/0!</v>
      </c>
      <c r="L28" s="27" t="e">
        <f t="shared" si="10"/>
        <v>#DIV/0!</v>
      </c>
    </row>
    <row r="29" spans="1:12" s="30" customFormat="1" ht="17.25" customHeight="1" x14ac:dyDescent="0.2">
      <c r="A29" s="77"/>
      <c r="B29" s="80"/>
      <c r="C29" s="33" t="s">
        <v>72</v>
      </c>
      <c r="D29" s="28">
        <v>0</v>
      </c>
      <c r="E29" s="29" t="e">
        <f t="shared" si="11"/>
        <v>#DIV/0!</v>
      </c>
      <c r="F29" s="28">
        <v>0</v>
      </c>
      <c r="G29" s="28">
        <v>0</v>
      </c>
      <c r="H29" s="28">
        <f t="shared" si="12"/>
        <v>0</v>
      </c>
      <c r="I29" s="29" t="e">
        <f t="shared" si="8"/>
        <v>#DIV/0!</v>
      </c>
      <c r="J29" s="34">
        <v>0</v>
      </c>
      <c r="K29" s="27" t="e">
        <f t="shared" si="9"/>
        <v>#DIV/0!</v>
      </c>
      <c r="L29" s="27" t="e">
        <f t="shared" si="10"/>
        <v>#DIV/0!</v>
      </c>
    </row>
    <row r="30" spans="1:12" s="30" customFormat="1" ht="17.25" customHeight="1" x14ac:dyDescent="0.2">
      <c r="A30" s="35"/>
      <c r="B30" s="36"/>
      <c r="C30" s="37"/>
      <c r="D30" s="38">
        <f>SUM(D26:D29)</f>
        <v>16</v>
      </c>
      <c r="E30" s="39"/>
      <c r="F30" s="38">
        <f>SUM(F26:F29)</f>
        <v>744</v>
      </c>
      <c r="G30" s="38">
        <f>SUM(G26:G29)</f>
        <v>22.6</v>
      </c>
      <c r="H30" s="38">
        <f>SUM(H26:H29)</f>
        <v>721.40000000000009</v>
      </c>
      <c r="I30" s="39">
        <f t="shared" ref="I30" si="13">L30/(K30+L30)</f>
        <v>0.97782090379817022</v>
      </c>
      <c r="J30" s="38">
        <f>SUM(J26:J29)</f>
        <v>2</v>
      </c>
      <c r="K30" s="40">
        <f t="shared" ref="K30" si="14">D30/J30</f>
        <v>8</v>
      </c>
      <c r="L30" s="40">
        <f t="shared" ref="L30" si="15">(H30-D30)/J30</f>
        <v>352.70000000000005</v>
      </c>
    </row>
    <row r="31" spans="1:12" ht="15" x14ac:dyDescent="0.2">
      <c r="A31" s="18"/>
      <c r="B31" s="17"/>
      <c r="C31" s="17"/>
      <c r="D31" s="25"/>
      <c r="E31" s="25"/>
      <c r="F31" s="25"/>
      <c r="G31" s="25"/>
      <c r="H31" s="25"/>
      <c r="I31" s="25"/>
      <c r="J31" s="25"/>
    </row>
    <row r="32" spans="1:12" ht="15" x14ac:dyDescent="0.2">
      <c r="A32" s="16"/>
      <c r="B32" s="17"/>
      <c r="C32" s="17"/>
      <c r="D32" s="25"/>
      <c r="E32" s="25"/>
      <c r="F32" s="25"/>
      <c r="G32" s="25"/>
      <c r="H32" s="25"/>
      <c r="I32" s="25"/>
      <c r="J32" s="25"/>
    </row>
    <row r="33" spans="1:10" ht="15" x14ac:dyDescent="0.2">
      <c r="A33" s="18"/>
      <c r="B33" s="17"/>
      <c r="C33" s="17"/>
      <c r="D33" s="25"/>
      <c r="E33" s="25"/>
      <c r="F33" s="25"/>
      <c r="G33" s="25"/>
      <c r="H33" s="25"/>
      <c r="I33" s="25"/>
      <c r="J33" s="25"/>
    </row>
    <row r="34" spans="1:10" ht="15" x14ac:dyDescent="0.2">
      <c r="A34" s="16"/>
      <c r="B34" s="17"/>
      <c r="C34" s="17"/>
      <c r="D34" s="25"/>
      <c r="E34" s="25"/>
      <c r="F34" s="25"/>
      <c r="G34" s="25"/>
      <c r="H34" s="25"/>
      <c r="I34" s="25"/>
      <c r="J34" s="25"/>
    </row>
    <row r="35" spans="1:10" ht="15" x14ac:dyDescent="0.2">
      <c r="A35" s="18"/>
      <c r="B35" s="17"/>
      <c r="C35" s="17"/>
      <c r="D35" s="25"/>
      <c r="E35" s="25"/>
      <c r="F35" s="25"/>
      <c r="G35" s="25"/>
      <c r="H35" s="25"/>
      <c r="I35" s="25"/>
      <c r="J35" s="25"/>
    </row>
    <row r="36" spans="1:10" ht="15" x14ac:dyDescent="0.2">
      <c r="A36" s="16"/>
      <c r="B36" s="26"/>
      <c r="C36" s="26"/>
      <c r="D36" s="25"/>
      <c r="E36" s="25"/>
      <c r="F36" s="25"/>
      <c r="G36" s="25"/>
      <c r="H36" s="25"/>
      <c r="I36" s="25"/>
      <c r="J36" s="25"/>
    </row>
    <row r="37" spans="1:10" ht="15" x14ac:dyDescent="0.2">
      <c r="A37" s="18"/>
      <c r="B37" s="26"/>
      <c r="C37" s="26"/>
      <c r="D37" s="25"/>
      <c r="E37" s="25"/>
      <c r="F37" s="25"/>
      <c r="G37" s="25"/>
      <c r="H37" s="25"/>
      <c r="I37" s="25"/>
      <c r="J37" s="25"/>
    </row>
    <row r="38" spans="1:10" ht="15" x14ac:dyDescent="0.2">
      <c r="A38" s="16"/>
      <c r="B38" s="26"/>
      <c r="C38" s="26"/>
      <c r="D38" s="25"/>
      <c r="E38" s="25"/>
      <c r="F38" s="25"/>
      <c r="G38" s="25"/>
      <c r="H38" s="25"/>
      <c r="I38" s="25"/>
      <c r="J38" s="25"/>
    </row>
    <row r="39" spans="1:10" x14ac:dyDescent="0.2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0" x14ac:dyDescent="0.2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0" x14ac:dyDescent="0.2">
      <c r="A41" s="25"/>
      <c r="B41" s="25"/>
      <c r="C41" s="25"/>
      <c r="D41" s="25"/>
      <c r="E41" s="25"/>
      <c r="F41" s="25"/>
      <c r="G41" s="25"/>
      <c r="H41" s="25"/>
      <c r="I41" s="25"/>
      <c r="J41" s="25"/>
    </row>
  </sheetData>
  <mergeCells count="15">
    <mergeCell ref="B26:B29"/>
    <mergeCell ref="A21:A24"/>
    <mergeCell ref="B21:B24"/>
    <mergeCell ref="A16:A19"/>
    <mergeCell ref="B16:B19"/>
    <mergeCell ref="A1:B3"/>
    <mergeCell ref="J1:L1"/>
    <mergeCell ref="J2:L2"/>
    <mergeCell ref="J3:L3"/>
    <mergeCell ref="C1:I3"/>
    <mergeCell ref="A6:A9"/>
    <mergeCell ref="B6:B9"/>
    <mergeCell ref="A11:A14"/>
    <mergeCell ref="B11:B14"/>
    <mergeCell ref="A26:A29"/>
  </mergeCells>
  <pageMargins left="0" right="0" top="0.74803149606299213" bottom="0.74803149606299213" header="0.31496062992125984" footer="0.31496062992125984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MSEB POWER FAILURE</vt:lpstr>
      <vt:lpstr>BDR summary</vt:lpstr>
      <vt:lpstr>CAPA</vt:lpstr>
      <vt:lpstr>ANALYSIS</vt:lpstr>
      <vt:lpstr>'BDR summary'!Print_Area</vt:lpstr>
      <vt:lpstr>CAPA!Print_Area</vt:lpstr>
      <vt:lpstr>'BDR summary'!Print_Titles</vt:lpstr>
      <vt:lpstr>CAPA!Print_Titles</vt:lpstr>
    </vt:vector>
  </TitlesOfParts>
  <Company>sks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DOP</dc:title>
  <dc:creator>Chandrakant G.Chafle</dc:creator>
  <cp:lastModifiedBy>Shree</cp:lastModifiedBy>
  <cp:lastPrinted>2025-04-06T11:10:08Z</cp:lastPrinted>
  <dcterms:created xsi:type="dcterms:W3CDTF">2003-06-04T05:47:58Z</dcterms:created>
  <dcterms:modified xsi:type="dcterms:W3CDTF">2026-03-30T07:41:09Z</dcterms:modified>
</cp:coreProperties>
</file>